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" sheetId="1" r:id="rId5"/>
    <sheet state="visible" name="Jadwal" sheetId="2" r:id="rId6"/>
  </sheets>
  <definedNames/>
  <calcPr/>
</workbook>
</file>

<file path=xl/sharedStrings.xml><?xml version="1.0" encoding="utf-8"?>
<sst xmlns="http://schemas.openxmlformats.org/spreadsheetml/2006/main" count="37" uniqueCount="27">
  <si>
    <t>Kegiatan</t>
  </si>
  <si>
    <t>Target</t>
  </si>
  <si>
    <t>Minggu ke-1</t>
  </si>
  <si>
    <t>Minggu ke-2</t>
  </si>
  <si>
    <t>Minggu ke-3</t>
  </si>
  <si>
    <t>Minggu ke-4</t>
  </si>
  <si>
    <t>Pemupukan dengan NPK</t>
  </si>
  <si>
    <t>Berkala setiap 20 hari</t>
  </si>
  <si>
    <t>Pemupukan Oganik (Kohe Kambing)</t>
  </si>
  <si>
    <t>Berkala setiap bulan</t>
  </si>
  <si>
    <t>Pengocoran EM4</t>
  </si>
  <si>
    <t>Pengocoran Tricodherma</t>
  </si>
  <si>
    <t>Penyemprotan pupuk daun</t>
  </si>
  <si>
    <t>berkala setiap 2 minggu</t>
  </si>
  <si>
    <t>Penyemprotan insektisida</t>
  </si>
  <si>
    <t>Prunning</t>
  </si>
  <si>
    <t>Setiap 3 Bulan/setelah panen</t>
  </si>
  <si>
    <t>Panen</t>
  </si>
  <si>
    <t>Sesuai Waktu kematangan</t>
  </si>
  <si>
    <t>JADWAL TREATMENT ALPUKAT &amp; KELENGKENG</t>
  </si>
  <si>
    <t>Kegitan</t>
  </si>
  <si>
    <t>Jadwal M1</t>
  </si>
  <si>
    <t>Dosis perpohon (gr/ml/phn)</t>
  </si>
  <si>
    <t>Status</t>
  </si>
  <si>
    <t>Jadwal M2</t>
  </si>
  <si>
    <t>Jadwal M3</t>
  </si>
  <si>
    <t>Jadwal 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</si>
</sst>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b/>
      <sz val="14.0"/>
      <color theme="1"/>
      <name val="Arial"/>
      <scheme val="minor"/>
    </font>
    <font>
      <color rgb="FFFFFFFF"/>
      <name val="Arial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rgb="FFCC0000"/>
        <bgColor rgb="FFCC0000"/>
      </patternFill>
    </fill>
  </fills>
  <borders count="12">
    <border/>
    <border>
      <left style="dotted">
        <color rgb="FFEFEFEF"/>
      </left>
      <right style="dotted">
        <color rgb="FFEFEFEF"/>
      </right>
      <top style="dotted">
        <color rgb="FFEFEFEF"/>
      </top>
      <bottom style="dotted">
        <color rgb="FFEFEFEF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2" fillId="3" fontId="1" numFmtId="0" xfId="0" applyAlignment="1" applyBorder="1" applyFill="1" applyFont="1">
      <alignment horizontal="center" readingOrder="0" vertical="center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wrapText="1"/>
    </xf>
    <xf borderId="5" fillId="2" fontId="2" numFmtId="0" xfId="0" applyAlignment="1" applyBorder="1" applyFont="1">
      <alignment horizontal="center" readingOrder="0" vertical="center"/>
    </xf>
    <xf borderId="3" fillId="4" fontId="4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readingOrder="0" shrinkToFit="0" wrapText="1"/>
    </xf>
    <xf borderId="5" fillId="4" fontId="2" numFmtId="0" xfId="0" applyAlignment="1" applyBorder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ont="1">
      <alignment horizontal="center" readingOrder="0" shrinkToFit="0" wrapText="1"/>
    </xf>
    <xf borderId="5" fillId="5" fontId="2" numFmtId="0" xfId="0" applyAlignment="1" applyBorder="1" applyFont="1">
      <alignment horizontal="center" readingOrder="0" vertical="center"/>
    </xf>
    <xf borderId="3" fillId="6" fontId="4" numFmtId="0" xfId="0" applyAlignment="1" applyBorder="1" applyFill="1" applyFont="1">
      <alignment horizontal="center" readingOrder="0" shrinkToFit="0" vertical="center" wrapText="1"/>
    </xf>
    <xf borderId="4" fillId="6" fontId="2" numFmtId="0" xfId="0" applyAlignment="1" applyBorder="1" applyFont="1">
      <alignment horizontal="center" readingOrder="0" shrinkToFit="0" wrapText="1"/>
    </xf>
    <xf borderId="5" fillId="6" fontId="2" numFmtId="0" xfId="0" applyAlignment="1" applyBorder="1" applyFont="1">
      <alignment horizontal="center" readingOrder="0" vertical="center"/>
    </xf>
    <xf borderId="2" fillId="0" fontId="1" numFmtId="0" xfId="0" applyBorder="1" applyFont="1"/>
    <xf borderId="6" fillId="0" fontId="1" numFmtId="164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8" fillId="0" fontId="5" numFmtId="0" xfId="0" applyAlignment="1" applyBorder="1" applyFont="1">
      <alignment horizontal="center"/>
    </xf>
    <xf borderId="7" fillId="0" fontId="1" numFmtId="0" xfId="0" applyBorder="1" applyFont="1"/>
    <xf borderId="2" fillId="0" fontId="1" numFmtId="0" xfId="0" applyAlignment="1" applyBorder="1" applyFont="1">
      <alignment readingOrder="0"/>
    </xf>
    <xf borderId="9" fillId="0" fontId="1" numFmtId="164" xfId="0" applyAlignment="1" applyBorder="1" applyFont="1" applyNumberFormat="1">
      <alignment readingOrder="0"/>
    </xf>
    <xf borderId="10" fillId="0" fontId="1" numFmtId="0" xfId="0" applyBorder="1" applyFont="1"/>
    <xf borderId="11" fillId="0" fontId="1" numFmtId="0" xfId="0" applyBorder="1" applyFont="1"/>
    <xf borderId="9" fillId="0" fontId="1" numFmtId="0" xfId="0" applyBorder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>
        <b/>
        <i/>
        <color rgb="FFFFFFFF"/>
      </font>
      <fill>
        <patternFill patternType="solid">
          <fgColor rgb="FF1C4587"/>
          <bgColor rgb="FF1C4587"/>
        </patternFill>
      </fill>
      <border/>
    </dxf>
    <dxf>
      <font>
        <color theme="0"/>
      </font>
      <fill>
        <patternFill patternType="solid">
          <fgColor rgb="FFCC0000"/>
          <bgColor rgb="FFCC0000"/>
        </patternFill>
      </fill>
      <border/>
    </dxf>
    <dxf>
      <font>
        <i/>
      </font>
      <fill>
        <patternFill patternType="solid">
          <fgColor rgb="FFB6D7A8"/>
          <bgColor rgb="FFB6D7A8"/>
        </patternFill>
      </fill>
      <border/>
    </dxf>
    <dxf>
      <font>
        <i/>
      </font>
      <fill>
        <patternFill patternType="solid">
          <fgColor rgb="FFFFFF00"/>
          <bgColor rgb="FFFFFF00"/>
        </patternFill>
      </fill>
      <border/>
    </dxf>
    <dxf>
      <font>
        <b/>
        <i/>
        <color theme="0"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2.75"/>
  </cols>
  <sheetData>
    <row r="1">
      <c r="C1" s="1"/>
      <c r="D1" s="1"/>
      <c r="E1" s="1"/>
      <c r="F1" s="1"/>
    </row>
    <row r="2" ht="33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A3" s="1" t="s">
        <v>6</v>
      </c>
      <c r="B3" s="1" t="s">
        <v>7</v>
      </c>
      <c r="C3" s="1" t="b">
        <v>1</v>
      </c>
      <c r="E3" s="1" t="b">
        <v>1</v>
      </c>
    </row>
    <row r="4">
      <c r="A4" s="1" t="s">
        <v>8</v>
      </c>
      <c r="B4" s="1" t="s">
        <v>9</v>
      </c>
      <c r="C4" s="1" t="b">
        <v>1</v>
      </c>
    </row>
    <row r="5">
      <c r="A5" s="1" t="s">
        <v>10</v>
      </c>
      <c r="B5" s="1" t="s">
        <v>9</v>
      </c>
      <c r="D5" s="1" t="b">
        <v>1</v>
      </c>
    </row>
    <row r="6">
      <c r="A6" s="1" t="s">
        <v>11</v>
      </c>
      <c r="B6" s="1" t="s">
        <v>9</v>
      </c>
      <c r="F6" s="1" t="b">
        <v>1</v>
      </c>
    </row>
    <row r="7">
      <c r="A7" s="1" t="s">
        <v>12</v>
      </c>
      <c r="B7" s="1" t="s">
        <v>13</v>
      </c>
      <c r="D7" s="1" t="b">
        <v>1</v>
      </c>
      <c r="F7" s="1" t="b">
        <v>1</v>
      </c>
    </row>
    <row r="8">
      <c r="A8" s="1" t="s">
        <v>14</v>
      </c>
      <c r="B8" s="1" t="s">
        <v>13</v>
      </c>
      <c r="C8" s="1" t="b">
        <v>1</v>
      </c>
      <c r="E8" s="1" t="b">
        <v>1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3" t="s">
        <v>19</v>
      </c>
    </row>
    <row r="3">
      <c r="A3" s="4" t="s">
        <v>20</v>
      </c>
      <c r="B3" s="5" t="s">
        <v>21</v>
      </c>
      <c r="C3" s="6" t="s">
        <v>22</v>
      </c>
      <c r="D3" s="7" t="s">
        <v>23</v>
      </c>
      <c r="E3" s="8" t="s">
        <v>24</v>
      </c>
      <c r="F3" s="9" t="s">
        <v>22</v>
      </c>
      <c r="G3" s="10" t="s">
        <v>23</v>
      </c>
      <c r="H3" s="11" t="s">
        <v>25</v>
      </c>
      <c r="I3" s="12" t="s">
        <v>22</v>
      </c>
      <c r="J3" s="13" t="s">
        <v>23</v>
      </c>
      <c r="K3" s="14" t="s">
        <v>26</v>
      </c>
      <c r="L3" s="15" t="s">
        <v>22</v>
      </c>
      <c r="M3" s="16" t="s">
        <v>23</v>
      </c>
    </row>
    <row r="4">
      <c r="A4" s="17" t="str">
        <f>Target!A3</f>
        <v>Pemupukan dengan NPK</v>
      </c>
      <c r="B4" s="18">
        <v>46143.0</v>
      </c>
      <c r="C4" s="19">
        <v>500.0</v>
      </c>
      <c r="D4" s="20" t="str">
        <f t="shared" ref="D4:D10" si="1">IF(B4="","",IF(ISNUMBER(C4),"SELESAI",IF(B4&lt;TODAY(),"TERLAMBAT",IF(B4=TODAY(),"KERJAKAN",IF(B4-TODAY()&lt;=3,"SEGERA","Terjadwal")))))</f>
        <v>SELESAI</v>
      </c>
      <c r="E4" s="18"/>
      <c r="F4" s="21"/>
      <c r="G4" s="20" t="str">
        <f t="shared" ref="G4:G10" si="2">IF(E4="","",IF(ISNUMBER(F4),"SELESAI",IF(E4&lt;TODAY(),"TERLAMBAT",IF(E4=TODAY(),"KERJAKAN",IF(E4-TODAY()&lt;=3,"SEGERA","Terjadwal")))))</f>
        <v/>
      </c>
      <c r="H4" s="18"/>
      <c r="I4" s="21"/>
      <c r="J4" s="20" t="str">
        <f t="shared" ref="J4:J10" si="3">IF(H4="","",IF(ISNUMBER(I4),"SELESAI",IF(H4&lt;TODAY(),"TERLAMBAT",IF(H4=TODAY(),"KERJAKAN",IF(H4-TODAY()&lt;=3,"SEGERA","Terjadwal")))))</f>
        <v/>
      </c>
      <c r="K4" s="18">
        <v>46162.0</v>
      </c>
      <c r="L4" s="21"/>
      <c r="M4" s="20" t="str">
        <f t="shared" ref="M4:M10" si="4">IF(K4="","",IF(ISNUMBER(L4),"SELESAI",IF(K4&lt;TODAY(),"TERLAMBAT",IF(K4=TODAY(),"KERJAKAN",IF(K4-TODAY()&lt;=3,"SEGERA","Terjadwal")))))</f>
        <v>Terjadwal</v>
      </c>
    </row>
    <row r="5">
      <c r="A5" s="17" t="str">
        <f>Target!A4</f>
        <v>Pemupukan Oganik (Kohe Kambing)</v>
      </c>
      <c r="B5" s="18">
        <v>46143.0</v>
      </c>
      <c r="C5" s="21"/>
      <c r="D5" s="20" t="str">
        <f t="shared" si="1"/>
        <v>Terjadwal</v>
      </c>
      <c r="E5" s="18"/>
      <c r="F5" s="21"/>
      <c r="G5" s="20" t="str">
        <f t="shared" si="2"/>
        <v/>
      </c>
      <c r="H5" s="18"/>
      <c r="I5" s="21"/>
      <c r="J5" s="20" t="str">
        <f t="shared" si="3"/>
        <v/>
      </c>
      <c r="K5" s="18"/>
      <c r="L5" s="21"/>
      <c r="M5" s="20" t="str">
        <f t="shared" si="4"/>
        <v/>
      </c>
    </row>
    <row r="6">
      <c r="A6" s="17" t="str">
        <f>Target!A5</f>
        <v>Pengocoran EM4</v>
      </c>
      <c r="B6" s="18"/>
      <c r="C6" s="21"/>
      <c r="D6" s="20" t="str">
        <f t="shared" si="1"/>
        <v/>
      </c>
      <c r="E6" s="18">
        <v>46153.0</v>
      </c>
      <c r="F6" s="21"/>
      <c r="G6" s="20" t="str">
        <f t="shared" si="2"/>
        <v>Terjadwal</v>
      </c>
      <c r="H6" s="18"/>
      <c r="I6" s="21"/>
      <c r="J6" s="20" t="str">
        <f t="shared" si="3"/>
        <v/>
      </c>
      <c r="K6" s="18">
        <v>46167.0</v>
      </c>
      <c r="L6" s="21"/>
      <c r="M6" s="20" t="str">
        <f t="shared" si="4"/>
        <v>Terjadwal</v>
      </c>
    </row>
    <row r="7">
      <c r="A7" s="17" t="str">
        <f>Target!A6</f>
        <v>Pengocoran Tricodherma</v>
      </c>
      <c r="B7" s="18">
        <v>46146.0</v>
      </c>
      <c r="C7" s="21"/>
      <c r="D7" s="20" t="str">
        <f t="shared" si="1"/>
        <v>Terjadwal</v>
      </c>
      <c r="E7" s="18"/>
      <c r="F7" s="21"/>
      <c r="G7" s="20" t="str">
        <f t="shared" si="2"/>
        <v/>
      </c>
      <c r="H7" s="18">
        <v>46160.0</v>
      </c>
      <c r="I7" s="21"/>
      <c r="J7" s="20" t="str">
        <f t="shared" si="3"/>
        <v>Terjadwal</v>
      </c>
      <c r="K7" s="18"/>
      <c r="L7" s="21"/>
      <c r="M7" s="20" t="str">
        <f t="shared" si="4"/>
        <v/>
      </c>
    </row>
    <row r="8">
      <c r="A8" s="17" t="str">
        <f>Target!A7</f>
        <v>Penyemprotan pupuk daun</v>
      </c>
      <c r="B8" s="18">
        <v>46149.0</v>
      </c>
      <c r="C8" s="21"/>
      <c r="D8" s="20" t="str">
        <f t="shared" si="1"/>
        <v>Terjadwal</v>
      </c>
      <c r="E8" s="18"/>
      <c r="F8" s="21"/>
      <c r="G8" s="20" t="str">
        <f t="shared" si="2"/>
        <v/>
      </c>
      <c r="H8" s="18">
        <v>46163.0</v>
      </c>
      <c r="I8" s="21"/>
      <c r="J8" s="20" t="str">
        <f t="shared" si="3"/>
        <v>Terjadwal</v>
      </c>
      <c r="K8" s="18"/>
      <c r="L8" s="21"/>
      <c r="M8" s="20" t="str">
        <f t="shared" si="4"/>
        <v/>
      </c>
    </row>
    <row r="9">
      <c r="A9" s="17" t="str">
        <f>Target!A8</f>
        <v>Penyemprotan insektisida</v>
      </c>
      <c r="B9" s="18"/>
      <c r="C9" s="21"/>
      <c r="D9" s="20" t="str">
        <f t="shared" si="1"/>
        <v/>
      </c>
      <c r="E9" s="18">
        <v>46156.0</v>
      </c>
      <c r="F9" s="21"/>
      <c r="G9" s="20" t="str">
        <f t="shared" si="2"/>
        <v>Terjadwal</v>
      </c>
      <c r="H9" s="18"/>
      <c r="I9" s="21"/>
      <c r="J9" s="20" t="str">
        <f t="shared" si="3"/>
        <v/>
      </c>
      <c r="K9" s="18">
        <v>46170.0</v>
      </c>
      <c r="L9" s="21"/>
      <c r="M9" s="20" t="str">
        <f t="shared" si="4"/>
        <v>Terjadwal</v>
      </c>
    </row>
    <row r="10">
      <c r="A10" s="17" t="str">
        <f>Target!A9</f>
        <v>Prunning</v>
      </c>
      <c r="B10" s="18">
        <v>46127.0</v>
      </c>
      <c r="C10" s="21"/>
      <c r="D10" s="20" t="str">
        <f t="shared" si="1"/>
        <v>TERLAMBAT</v>
      </c>
      <c r="E10" s="18"/>
      <c r="F10" s="21"/>
      <c r="G10" s="20" t="str">
        <f t="shared" si="2"/>
        <v/>
      </c>
      <c r="H10" s="18"/>
      <c r="I10" s="21"/>
      <c r="J10" s="20" t="str">
        <f t="shared" si="3"/>
        <v/>
      </c>
      <c r="K10" s="18"/>
      <c r="L10" s="21"/>
      <c r="M10" s="20" t="str">
        <f t="shared" si="4"/>
        <v/>
      </c>
    </row>
    <row r="11">
      <c r="A11" s="22" t="s">
        <v>17</v>
      </c>
      <c r="B11" s="23"/>
      <c r="C11" s="24"/>
      <c r="D11" s="25"/>
      <c r="E11" s="26"/>
      <c r="F11" s="24"/>
      <c r="G11" s="25"/>
      <c r="H11" s="26"/>
      <c r="I11" s="24"/>
      <c r="J11" s="25"/>
      <c r="K11" s="26"/>
      <c r="L11" s="24"/>
      <c r="M11" s="25"/>
    </row>
    <row r="12">
      <c r="B12" s="27"/>
    </row>
    <row r="13">
      <c r="B13" s="27"/>
    </row>
    <row r="14">
      <c r="B14" s="27"/>
    </row>
    <row r="15">
      <c r="B15" s="27"/>
    </row>
    <row r="16">
      <c r="B16" s="27"/>
    </row>
  </sheetData>
  <conditionalFormatting sqref="D4:D1001 G4:G10 J4:J10 M4:M10">
    <cfRule type="cellIs" dxfId="0" priority="1" operator="equal">
      <formula>"SELESAI"</formula>
    </cfRule>
  </conditionalFormatting>
  <conditionalFormatting sqref="D4:D1001 G4:G10 J4:J10 M4:M10">
    <cfRule type="cellIs" dxfId="1" priority="2" operator="equal">
      <formula>"TERLAMBAT"</formula>
    </cfRule>
  </conditionalFormatting>
  <conditionalFormatting sqref="D4:D1001 G4:G10 J4:J10 M4:M10">
    <cfRule type="cellIs" dxfId="2" priority="3" operator="equal">
      <formula>"Terjadwal"</formula>
    </cfRule>
  </conditionalFormatting>
  <conditionalFormatting sqref="D4:D1001 G4:G10 J4:J10 M4:M10">
    <cfRule type="cellIs" dxfId="3" priority="4" operator="equal">
      <formula>"SEGERA"</formula>
    </cfRule>
  </conditionalFormatting>
  <conditionalFormatting sqref="D4:D1001 G4:G10 J4:J10 M4:M10">
    <cfRule type="cellIs" dxfId="4" priority="5" operator="equal">
      <formula>"KERJAKAN"</formula>
    </cfRule>
  </conditionalFormatting>
  <drawing r:id="rId1"/>
</worksheet>
</file>